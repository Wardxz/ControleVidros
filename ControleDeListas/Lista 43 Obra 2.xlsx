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ecnica2\Desktop\"/>
    </mc:Choice>
  </mc:AlternateContent>
  <xr:revisionPtr revIDLastSave="0" documentId="13_ncr:1_{2BF387AC-F3BF-44EC-88CF-7F91946F8D7C}" xr6:coauthVersionLast="47" xr6:coauthVersionMax="47" xr10:uidLastSave="{00000000-0000-0000-0000-000000000000}"/>
  <bookViews>
    <workbookView xWindow="-120" yWindow="-120" windowWidth="24240" windowHeight="13020" tabRatio="821" xr2:uid="{450932F4-84E9-404D-AFEE-654AB7948288}"/>
  </bookViews>
  <sheets>
    <sheet name="LISTA DE VIDROS" sheetId="1" r:id="rId1"/>
  </sheets>
  <definedNames>
    <definedName name="_xlnm._FilterDatabase" localSheetId="0" hidden="1">#N/A</definedName>
    <definedName name="_xlnm.Print_Area" localSheetId="0">#N/A</definedName>
    <definedName name="_xlnm.Print_Titles" localSheetId="0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J4" i="1" s="1"/>
  <c r="G4" i="1"/>
  <c r="H4" i="1"/>
  <c r="L4" i="1" s="1"/>
  <c r="K4" i="1"/>
  <c r="F5" i="1" l="1"/>
  <c r="G5" i="1"/>
  <c r="H5" i="1"/>
  <c r="K5" i="1" l="1"/>
  <c r="L5" i="1"/>
  <c r="J5" i="1"/>
</calcChain>
</file>

<file path=xl/sharedStrings.xml><?xml version="1.0" encoding="utf-8"?>
<sst xmlns="http://schemas.openxmlformats.org/spreadsheetml/2006/main" count="35" uniqueCount="31">
  <si>
    <t>EMITENTE: LUIS XAVIER</t>
  </si>
  <si>
    <t>Item</t>
  </si>
  <si>
    <t>Tipo</t>
  </si>
  <si>
    <t>Especificação</t>
  </si>
  <si>
    <t>Largura (mm)</t>
  </si>
  <si>
    <t>Altura (mm)</t>
  </si>
  <si>
    <t>Perím. (mm)</t>
  </si>
  <si>
    <t>Área (m²)</t>
  </si>
  <si>
    <t>Área (m²)2</t>
  </si>
  <si>
    <t>Quant. (pç)</t>
  </si>
  <si>
    <t>Perím. (m)</t>
  </si>
  <si>
    <t>Área (m²)3</t>
  </si>
  <si>
    <t>Área  (m²)</t>
  </si>
  <si>
    <t>Data Solicitada</t>
  </si>
  <si>
    <t>Obs.</t>
  </si>
  <si>
    <t>POE - 850 - MANHATTAN_SHOPPING - QUANTITATIVO DE ESQUADRIA E VIDROS - ATUALIZAÇÃO 04</t>
  </si>
  <si>
    <t>Local  Entrega</t>
  </si>
  <si>
    <t>REVISÃO: 00</t>
  </si>
  <si>
    <t>FABRICA</t>
  </si>
  <si>
    <t>LISTA DE VIDROS - Nº43</t>
  </si>
  <si>
    <t>DATA: 19/11/2025</t>
  </si>
  <si>
    <t>PERG.04_1</t>
  </si>
  <si>
    <t xml:space="preserve">VIDRO LAMINADO 10mm COM CONTROLE SOLAR </t>
  </si>
  <si>
    <t>RECEBIDO POR:</t>
  </si>
  <si>
    <t>_______________________________________</t>
  </si>
  <si>
    <t>NOME LEGÍVEL:</t>
  </si>
  <si>
    <t>DATA RECEBIMENTO:</t>
  </si>
  <si>
    <t>HORA:</t>
  </si>
  <si>
    <t>MOTORISTA:</t>
  </si>
  <si>
    <t>CLIENTE: 2</t>
  </si>
  <si>
    <t>OBRA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</si>
</sst>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3" fillId="0" borderId="9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left"/>
    </xf>
    <xf numFmtId="164" fontId="3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6AD4F94E-EF74-454F-8CC7-8BEE78C82AE0}"/>
  </cellStyles>
  <dxfs count="17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DC199-BCAE-4FDE-8540-D0479F8919FD}" name="Tabela1" displayName="Tabela1" ref="A3:O4" totalsRowShown="0" dataDxfId="16" tableBorderDxfId="15">
  <autoFilter ref="A3:O4" xr:uid="{E60EDE38-0189-4F15-888C-DEB51BCC1CDE}"/>
  <tableColumns count="15">
    <tableColumn id="1" xr3:uid="{00000000-0010-0000-0100-000001000000}" name="Item" dataDxfId="14"/>
    <tableColumn id="4" xr3:uid="{00000000-0010-0000-0100-000004000000}" name="Tipo" dataDxfId="13"/>
    <tableColumn id="5" xr3:uid="{00000000-0010-0000-0100-000005000000}" name="Especificação" dataDxfId="12"/>
    <tableColumn id="6" xr3:uid="{00000000-0010-0000-0100-000006000000}" name="Largura (mm)" dataDxfId="11"/>
    <tableColumn id="7" xr3:uid="{00000000-0010-0000-0100-000007000000}" name="Altura (mm)" dataDxfId="10"/>
    <tableColumn id="8" xr3:uid="{00000000-0010-0000-0100-000008000000}" name="Perím. (mm)" dataDxfId="9">
      <calculatedColumnFormula>(D4/1000+E4/1000)*2</calculatedColumnFormula>
    </tableColumn>
    <tableColumn id="9" xr3:uid="{00000000-0010-0000-0100-000009000000}" name="Área (m²)" dataDxfId="8">
      <calculatedColumnFormula>D4/1000*E4/1000</calculatedColumnFormula>
    </tableColumn>
    <tableColumn id="10" xr3:uid="{00000000-0010-0000-0100-00000A000000}" name="Área (m²)2" dataDxfId="7">
      <calculatedColumnFormula>(ROUNDUP(D4/50,0)*50/1000*ROUNDUP(E4/50,0)*50/1000)</calculatedColumnFormula>
    </tableColumn>
    <tableColumn id="11" xr3:uid="{00000000-0010-0000-0100-00000B000000}" name="Quant. (pç)" dataDxfId="6"/>
    <tableColumn id="12" xr3:uid="{00000000-0010-0000-0100-00000C000000}" name="Perím. (m)" dataDxfId="5">
      <calculatedColumnFormula>F4*I4</calculatedColumnFormula>
    </tableColumn>
    <tableColumn id="13" xr3:uid="{00000000-0010-0000-0100-00000D000000}" name="Área (m²)3" dataDxfId="4">
      <calculatedColumnFormula>G4*I4</calculatedColumnFormula>
    </tableColumn>
    <tableColumn id="14" xr3:uid="{00000000-0010-0000-0100-00000E000000}" name="Área  (m²)" dataDxfId="3">
      <calculatedColumnFormula>H4*I4</calculatedColumnFormula>
    </tableColumn>
    <tableColumn id="15" xr3:uid="{00000000-0010-0000-0100-00000F000000}" name="Local  Entrega" dataDxfId="2"/>
    <tableColumn id="16" xr3:uid="{00000000-0010-0000-0100-000010000000}" name="Data Solicitada" dataDxfId="1"/>
    <tableColumn id="17" xr3:uid="{00000000-0010-0000-0100-000011000000}" name="Obs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1146-F8D7-49BE-AB4D-E1DB6524FCD1}">
  <sheetPr>
    <pageSetUpPr fitToPage="1"/>
  </sheetPr>
  <dimension ref="A1:U324"/>
  <sheetViews>
    <sheetView showGridLines="0" tabSelected="1" zoomScaleNormal="100" workbookViewId="0">
      <selection activeCell="A4" sqref="A4"/>
    </sheetView>
  </sheetViews>
  <sheetFormatPr defaultRowHeight="15" x14ac:dyDescent="0.25"/>
  <cols>
    <col min="1" max="1" width="8.7109375" style="1" customWidth="1"/>
    <col min="2" max="2" width="11.7109375" style="1" customWidth="1"/>
    <col min="3" max="3" width="53.5703125" style="2" customWidth="1"/>
    <col min="4" max="5" width="18.7109375" style="1" customWidth="1"/>
    <col min="6" max="6" width="17.7109375" style="3" hidden="1" customWidth="1"/>
    <col min="7" max="8" width="15.7109375" style="3" hidden="1" customWidth="1"/>
    <col min="9" max="9" width="15.7109375" style="4" customWidth="1"/>
    <col min="10" max="12" width="15.7109375" style="4" hidden="1" customWidth="1"/>
    <col min="13" max="13" width="17.7109375" style="6" hidden="1" customWidth="1"/>
    <col min="14" max="14" width="20.7109375" style="1" hidden="1" customWidth="1"/>
    <col min="15" max="15" width="89" style="1" hidden="1" customWidth="1"/>
    <col min="16" max="21" width="9.140625" style="1"/>
  </cols>
  <sheetData>
    <row r="1" spans="1:15" x14ac:dyDescent="0.25">
      <c r="A1" s="33" t="s">
        <v>29</v>
      </c>
      <c r="B1" s="34"/>
      <c r="C1" s="34"/>
      <c r="D1" s="35"/>
      <c r="E1" s="35"/>
      <c r="F1" s="35"/>
      <c r="G1" s="35"/>
      <c r="H1" s="35"/>
      <c r="I1" s="35"/>
      <c r="J1" s="35"/>
      <c r="K1" s="35"/>
      <c r="L1" s="36"/>
      <c r="M1" s="30" t="s">
        <v>0</v>
      </c>
      <c r="N1" s="31"/>
      <c r="O1" s="19" t="s">
        <v>17</v>
      </c>
    </row>
    <row r="2" spans="1:15" ht="15" customHeight="1" x14ac:dyDescent="0.25">
      <c r="A2" s="32" t="s">
        <v>30</v>
      </c>
      <c r="B2" s="32"/>
      <c r="C2" s="32"/>
      <c r="D2" s="32"/>
      <c r="E2" s="37" t="s">
        <v>19</v>
      </c>
      <c r="F2" s="38"/>
      <c r="G2" s="38"/>
      <c r="H2" s="38"/>
      <c r="I2" s="38"/>
      <c r="J2" s="20"/>
      <c r="K2" s="20"/>
      <c r="L2" s="21"/>
      <c r="M2" s="31" t="s">
        <v>20</v>
      </c>
      <c r="N2" s="32"/>
      <c r="O2" s="32"/>
    </row>
    <row r="3" spans="1:15" ht="27" x14ac:dyDescent="0.25">
      <c r="A3" s="13" t="s">
        <v>1</v>
      </c>
      <c r="B3" s="14" t="s">
        <v>2</v>
      </c>
      <c r="C3" s="12" t="s">
        <v>3</v>
      </c>
      <c r="D3" s="14" t="s">
        <v>4</v>
      </c>
      <c r="E3" s="12" t="s">
        <v>5</v>
      </c>
      <c r="F3" s="40" t="s">
        <v>6</v>
      </c>
      <c r="G3" s="40" t="s">
        <v>7</v>
      </c>
      <c r="H3" s="40" t="s">
        <v>8</v>
      </c>
      <c r="I3" s="12" t="s">
        <v>9</v>
      </c>
      <c r="J3" s="16" t="s">
        <v>10</v>
      </c>
      <c r="K3" s="17" t="s">
        <v>11</v>
      </c>
      <c r="L3" s="16" t="s">
        <v>12</v>
      </c>
      <c r="M3" s="15" t="s">
        <v>16</v>
      </c>
      <c r="N3" s="15" t="s">
        <v>13</v>
      </c>
      <c r="O3" s="18" t="s">
        <v>14</v>
      </c>
    </row>
    <row r="4" spans="1:15" ht="15.75" x14ac:dyDescent="0.25">
      <c r="A4" s="7">
        <v>1</v>
      </c>
      <c r="B4" s="7" t="s">
        <v>21</v>
      </c>
      <c r="C4" s="22" t="s">
        <v>22</v>
      </c>
      <c r="D4" s="8">
        <v>1601</v>
      </c>
      <c r="E4" s="8">
        <v>1143</v>
      </c>
      <c r="F4" s="9">
        <f t="shared" ref="F4" si="0">(D4/1000+E4/1000)*2</f>
        <v>5.4879999999999995</v>
      </c>
      <c r="G4" s="9">
        <f t="shared" ref="G4" si="1">D4/1000*E4/1000</f>
        <v>1.8299429999999999</v>
      </c>
      <c r="H4" s="9">
        <f t="shared" ref="H4" si="2">(ROUNDUP(D4/50,0)*50/1000*ROUNDUP(E4/50,0)*50/1000)</f>
        <v>1.8974999999999997</v>
      </c>
      <c r="I4" s="12">
        <v>1</v>
      </c>
      <c r="J4" s="10">
        <f t="shared" ref="J4" si="3">F4*I4</f>
        <v>5.4879999999999995</v>
      </c>
      <c r="K4" s="10">
        <f t="shared" ref="K4" si="4">G4*I4</f>
        <v>1.8299429999999999</v>
      </c>
      <c r="L4" s="10">
        <f t="shared" ref="L4" si="5">H4*I4</f>
        <v>1.8974999999999997</v>
      </c>
      <c r="M4" s="10" t="s">
        <v>18</v>
      </c>
      <c r="N4" s="11">
        <v>45980</v>
      </c>
      <c r="O4" s="7" t="s">
        <v>15</v>
      </c>
    </row>
    <row r="5" spans="1:15" x14ac:dyDescent="0.25">
      <c r="F5" s="23">
        <f>SUM(F4:F4)</f>
        <v>5.4879999999999995</v>
      </c>
      <c r="G5" s="23">
        <f>SUM(G4:G4)</f>
        <v>1.8299429999999999</v>
      </c>
      <c r="H5" s="23">
        <f>SUM(H4:H4)</f>
        <v>1.8974999999999997</v>
      </c>
      <c r="I5" s="24">
        <v>1</v>
      </c>
      <c r="J5" s="23">
        <f>SUM(J4:J4)</f>
        <v>5.4879999999999995</v>
      </c>
      <c r="K5" s="23">
        <f>SUM(K4:K4)</f>
        <v>1.8299429999999999</v>
      </c>
      <c r="L5" s="23">
        <f>SUM(L4:L4)</f>
        <v>1.8974999999999997</v>
      </c>
    </row>
    <row r="9" spans="1:15" ht="15.75" x14ac:dyDescent="0.25">
      <c r="C9" s="25" t="s">
        <v>23</v>
      </c>
      <c r="D9" s="39" t="s">
        <v>24</v>
      </c>
      <c r="E9" s="39"/>
      <c r="F9" s="39"/>
      <c r="G9" s="39"/>
      <c r="H9" s="39"/>
      <c r="I9" s="39"/>
    </row>
    <row r="10" spans="1:15" ht="15.75" x14ac:dyDescent="0.25">
      <c r="C10" s="25" t="s">
        <v>25</v>
      </c>
      <c r="D10" s="39" t="s">
        <v>24</v>
      </c>
      <c r="E10" s="39"/>
      <c r="F10" s="39"/>
      <c r="G10" s="39"/>
      <c r="H10" s="39"/>
      <c r="I10" s="39"/>
    </row>
    <row r="11" spans="1:15" ht="15.75" x14ac:dyDescent="0.25">
      <c r="C11" s="25" t="s">
        <v>26</v>
      </c>
      <c r="D11" s="39" t="s">
        <v>24</v>
      </c>
      <c r="E11" s="39"/>
      <c r="F11" s="39"/>
      <c r="G11" s="39"/>
      <c r="H11" s="39"/>
      <c r="I11" s="39"/>
    </row>
    <row r="12" spans="1:15" ht="15.75" x14ac:dyDescent="0.25">
      <c r="C12" s="25" t="s">
        <v>27</v>
      </c>
      <c r="D12" s="39" t="s">
        <v>24</v>
      </c>
      <c r="E12" s="39"/>
      <c r="F12" s="39"/>
      <c r="G12" s="39"/>
      <c r="H12" s="39"/>
      <c r="I12" s="39"/>
    </row>
    <row r="13" spans="1:15" ht="15.75" x14ac:dyDescent="0.25">
      <c r="C13" s="25" t="s">
        <v>28</v>
      </c>
      <c r="D13" s="39" t="s">
        <v>24</v>
      </c>
      <c r="E13" s="39"/>
      <c r="F13" s="39"/>
      <c r="G13" s="39"/>
      <c r="H13" s="39"/>
      <c r="I13" s="39"/>
    </row>
    <row r="14" spans="1:15" ht="15.75" x14ac:dyDescent="0.25">
      <c r="C14" s="26"/>
      <c r="D14" s="26"/>
      <c r="E14" s="27"/>
      <c r="F14" s="28"/>
      <c r="G14" s="28"/>
      <c r="H14" s="29"/>
      <c r="I14" s="29"/>
    </row>
    <row r="324" spans="15:15" x14ac:dyDescent="0.25">
      <c r="O324" s="5"/>
    </row>
  </sheetData>
  <mergeCells count="10">
    <mergeCell ref="D9:I9"/>
    <mergeCell ref="D10:I10"/>
    <mergeCell ref="D11:I11"/>
    <mergeCell ref="D12:I12"/>
    <mergeCell ref="D13:I13"/>
    <mergeCell ref="M1:N1"/>
    <mergeCell ref="M2:O2"/>
    <mergeCell ref="A1:L1"/>
    <mergeCell ref="A2:D2"/>
    <mergeCell ref="E2:I2"/>
  </mergeCells>
  <phoneticPr fontId="1" type="noConversion"/>
  <printOptions horizontalCentered="1" verticalCentered="1"/>
  <pageMargins left="0.23622047244094491" right="0.23622047244094491" top="0.74803149606299213" bottom="0.55118110236220474" header="0.31496062992125984" footer="0.31496062992125984"/>
  <pageSetup paperSize="9" fitToHeight="0" orientation="landscape" r:id="rId1"/>
  <headerFooter>
    <oddFooter>&amp;C
&amp;R&amp;P/&amp;N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VIDROS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Rodergas</dc:creator>
  <cp:keywords/>
  <dc:description/>
  <cp:lastModifiedBy>CristalMais Técnica</cp:lastModifiedBy>
  <cp:revision/>
  <cp:lastPrinted>2026-01-19T11:13:14Z</cp:lastPrinted>
  <dcterms:created xsi:type="dcterms:W3CDTF">2014-08-12T13:51:14Z</dcterms:created>
  <dcterms:modified xsi:type="dcterms:W3CDTF">2026-01-29T19:43:53Z</dcterms:modified>
  <cp:category/>
  <cp:contentStatus/>
</cp:coreProperties>
</file>