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Tecnica2\Desktop\Lista de Vidro Exemplos\"/>
    </mc:Choice>
  </mc:AlternateContent>
  <xr:revisionPtr revIDLastSave="0" documentId="13_ncr:1_{5CAE9737-CC1F-40BF-A9AE-BA650412E54F}" xr6:coauthVersionLast="47" xr6:coauthVersionMax="47" xr10:uidLastSave="{00000000-0000-0000-0000-000000000000}"/>
  <bookViews>
    <workbookView xWindow="-120" yWindow="-120" windowWidth="24240" windowHeight="13020" tabRatio="821" xr2:uid="{450932F4-84E9-404D-AFEE-654AB7948288}"/>
  </bookViews>
  <sheets>
    <sheet name="LISTA DE VIDROS" sheetId="1" r:id="rId1"/>
  </sheets>
  <definedNames>
    <definedName name="_xlnm._FilterDatabase" localSheetId="0" hidden="1">#N/A</definedName>
    <definedName name="_xlnm.Print_Area" localSheetId="0">#N/A</definedName>
    <definedName name="_xlnm.Print_Titles" localSheetId="0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9" i="1" l="1"/>
  <c r="G8" i="1"/>
  <c r="K8" i="1" s="1"/>
  <c r="H8" i="1"/>
  <c r="L8" i="1" s="1"/>
  <c r="I8" i="1"/>
  <c r="M8" i="1" s="1"/>
  <c r="G9" i="1" l="1"/>
  <c r="H9" i="1"/>
  <c r="I9" i="1"/>
  <c r="L9" i="1" l="1"/>
  <c r="M9" i="1"/>
  <c r="K9" i="1"/>
</calcChain>
</file>

<file path=xl/sharedStrings.xml><?xml version="1.0" encoding="utf-8"?>
<sst xmlns="http://schemas.openxmlformats.org/spreadsheetml/2006/main" count="31" uniqueCount="31">
  <si>
    <t>Item</t>
  </si>
  <si>
    <t>Tipo</t>
  </si>
  <si>
    <t>Especificação</t>
  </si>
  <si>
    <t>Largura (mm)</t>
  </si>
  <si>
    <t>Altura (mm)</t>
  </si>
  <si>
    <t>Perím. (mm)</t>
  </si>
  <si>
    <t>Área (m²)</t>
  </si>
  <si>
    <t>Área (m²)2</t>
  </si>
  <si>
    <t>Quant. (pç)</t>
  </si>
  <si>
    <t>Perím. (m)</t>
  </si>
  <si>
    <t>Área (m²)3</t>
  </si>
  <si>
    <t>Área  (m²)</t>
  </si>
  <si>
    <t>Data Solicitada</t>
  </si>
  <si>
    <t>Obs.</t>
  </si>
  <si>
    <t>Considerções importantes:</t>
  </si>
  <si>
    <t>1. Todas as medidas de vidros desta planilha são dimensões finais para fabricação, isto é, já estão com folga.</t>
  </si>
  <si>
    <t>2. Os vidros deverão ter suas bordas lapidadas e sem defasagem.</t>
  </si>
  <si>
    <t>3. A produção dos vidros deverá respeitar as recomendações das Normas Brasileiras ABNT em vigor, especialmente a NBR-14697, NBR NM-293 e a NBR-7199.</t>
  </si>
  <si>
    <t>4. As peças de vidro deverão ser identificadas com suas dimensões e sua posição.</t>
  </si>
  <si>
    <t>Local  Entrega</t>
  </si>
  <si>
    <t>REVISÃO: 00</t>
  </si>
  <si>
    <t>FABRICA</t>
  </si>
  <si>
    <t>PA2</t>
  </si>
  <si>
    <t>Local</t>
  </si>
  <si>
    <t xml:space="preserve"> GAVETA 07</t>
  </si>
  <si>
    <t>VIDRO LAMINADO 8MM</t>
  </si>
  <si>
    <t>LISTA DE VIDROS - Nº02</t>
  </si>
  <si>
    <t>CLIENTE: Cliente 2</t>
  </si>
  <si>
    <t>OBRA: Obra 3 - SHOWROOM</t>
  </si>
  <si>
    <t>EMITENTE: Arthur Ward</t>
  </si>
  <si>
    <t>DATA: 23/01/2026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</si>
</sst>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2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14" fontId="5" fillId="0" borderId="0" xfId="0" applyNumberFormat="1" applyFont="1"/>
    <xf numFmtId="0" fontId="2" fillId="2" borderId="1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vertical="center"/>
    </xf>
    <xf numFmtId="0" fontId="2" fillId="2" borderId="5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2" fontId="3" fillId="0" borderId="9" xfId="0" applyNumberFormat="1" applyFont="1" applyBorder="1" applyAlignment="1">
      <alignment horizontal="center"/>
    </xf>
    <xf numFmtId="1" fontId="3" fillId="0" borderId="9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 vertical="center" indent="3"/>
    </xf>
    <xf numFmtId="0" fontId="6" fillId="0" borderId="0" xfId="0" applyFont="1" applyAlignment="1">
      <alignment horizontal="center"/>
    </xf>
    <xf numFmtId="0" fontId="2" fillId="2" borderId="6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7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m/d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4" formatCode="0.0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3DC199-BCAE-4FDE-8540-D0479F8919FD}" name="Tabela1" displayName="Tabela1" ref="A7:P8" totalsRowShown="0" dataDxfId="17" tableBorderDxfId="16">
  <autoFilter ref="A7:P8" xr:uid="{E60EDE38-0189-4F15-888C-DEB51BCC1CDE}"/>
  <tableColumns count="16">
    <tableColumn id="1" xr3:uid="{00000000-0010-0000-0100-000001000000}" name="Item" dataDxfId="15"/>
    <tableColumn id="4" xr3:uid="{00000000-0010-0000-0100-000004000000}" name="Tipo" dataDxfId="14"/>
    <tableColumn id="3" xr3:uid="{BC704DFD-C716-44E3-BA64-5F5CD360742F}" name="Local" dataDxfId="13"/>
    <tableColumn id="5" xr3:uid="{00000000-0010-0000-0100-000005000000}" name="Especificação" dataDxfId="12"/>
    <tableColumn id="6" xr3:uid="{00000000-0010-0000-0100-000006000000}" name="Largura (mm)" dataDxfId="11"/>
    <tableColumn id="7" xr3:uid="{00000000-0010-0000-0100-000007000000}" name="Altura (mm)" dataDxfId="10"/>
    <tableColumn id="8" xr3:uid="{00000000-0010-0000-0100-000008000000}" name="Perím. (mm)" dataDxfId="9">
      <calculatedColumnFormula>(E8/1000+F8/1000)*2</calculatedColumnFormula>
    </tableColumn>
    <tableColumn id="9" xr3:uid="{00000000-0010-0000-0100-000009000000}" name="Área (m²)" dataDxfId="8">
      <calculatedColumnFormula>E8/1000*F8/1000</calculatedColumnFormula>
    </tableColumn>
    <tableColumn id="10" xr3:uid="{00000000-0010-0000-0100-00000A000000}" name="Área (m²)2" dataDxfId="7">
      <calculatedColumnFormula>(ROUNDUP(E8/50,0)*50/1000*ROUNDUP(F8/50,0)*50/1000)</calculatedColumnFormula>
    </tableColumn>
    <tableColumn id="11" xr3:uid="{00000000-0010-0000-0100-00000B000000}" name="Quant. (pç)" dataDxfId="6"/>
    <tableColumn id="12" xr3:uid="{00000000-0010-0000-0100-00000C000000}" name="Perím. (m)" dataDxfId="5">
      <calculatedColumnFormula>G8*J8</calculatedColumnFormula>
    </tableColumn>
    <tableColumn id="13" xr3:uid="{00000000-0010-0000-0100-00000D000000}" name="Área (m²)3" dataDxfId="4">
      <calculatedColumnFormula>H8*J8</calculatedColumnFormula>
    </tableColumn>
    <tableColumn id="14" xr3:uid="{00000000-0010-0000-0100-00000E000000}" name="Área  (m²)" dataDxfId="3">
      <calculatedColumnFormula>I8*J8</calculatedColumnFormula>
    </tableColumn>
    <tableColumn id="15" xr3:uid="{00000000-0010-0000-0100-00000F000000}" name="Local  Entrega" dataDxfId="2"/>
    <tableColumn id="16" xr3:uid="{00000000-0010-0000-0100-000010000000}" name="Data Solicitada" dataDxfId="1"/>
    <tableColumn id="17" xr3:uid="{00000000-0010-0000-0100-000011000000}" name="Obs.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81146-F8D7-49BE-AB4D-E1DB6524FCD1}">
  <sheetPr>
    <pageSetUpPr fitToPage="1"/>
  </sheetPr>
  <dimension ref="A2:V359"/>
  <sheetViews>
    <sheetView showGridLines="0" tabSelected="1" zoomScaleNormal="100" workbookViewId="0">
      <selection activeCell="N7" sqref="N7"/>
    </sheetView>
  </sheetViews>
  <sheetFormatPr defaultRowHeight="15" x14ac:dyDescent="0.25"/>
  <cols>
    <col min="1" max="1" width="8.7109375" style="1" customWidth="1"/>
    <col min="2" max="3" width="11.7109375" style="1" customWidth="1"/>
    <col min="4" max="4" width="48" style="2" customWidth="1"/>
    <col min="5" max="6" width="18.7109375" style="1" customWidth="1"/>
    <col min="7" max="7" width="17.7109375" style="3" customWidth="1"/>
    <col min="8" max="9" width="15.7109375" style="3" customWidth="1"/>
    <col min="10" max="13" width="15.7109375" style="4" customWidth="1"/>
    <col min="14" max="14" width="17.7109375" style="6" customWidth="1"/>
    <col min="15" max="15" width="20.7109375" style="1" customWidth="1"/>
    <col min="16" max="16" width="33.7109375" style="1" hidden="1" customWidth="1"/>
    <col min="17" max="22" width="9.140625" style="1"/>
  </cols>
  <sheetData>
    <row r="2" spans="1:16" ht="25.5" x14ac:dyDescent="0.3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</row>
    <row r="3" spans="1:16" ht="25.5" x14ac:dyDescent="0.3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</row>
    <row r="4" spans="1:16" ht="18.75" x14ac:dyDescent="0.3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</row>
    <row r="5" spans="1:16" x14ac:dyDescent="0.25">
      <c r="A5" s="34" t="s">
        <v>27</v>
      </c>
      <c r="B5" s="35"/>
      <c r="C5" s="35"/>
      <c r="D5" s="35"/>
      <c r="E5" s="36"/>
      <c r="F5" s="36"/>
      <c r="G5" s="36"/>
      <c r="H5" s="36"/>
      <c r="I5" s="36"/>
      <c r="J5" s="36"/>
      <c r="K5" s="36"/>
      <c r="L5" s="36"/>
      <c r="M5" s="37"/>
      <c r="N5" s="31" t="s">
        <v>29</v>
      </c>
      <c r="O5" s="32"/>
      <c r="P5" s="23" t="s">
        <v>20</v>
      </c>
    </row>
    <row r="6" spans="1:16" x14ac:dyDescent="0.25">
      <c r="A6" s="33" t="s">
        <v>28</v>
      </c>
      <c r="B6" s="33"/>
      <c r="C6" s="33"/>
      <c r="D6" s="33"/>
      <c r="E6" s="33"/>
      <c r="F6" s="38" t="s">
        <v>26</v>
      </c>
      <c r="G6" s="39"/>
      <c r="H6" s="39"/>
      <c r="I6" s="26"/>
      <c r="J6" s="24"/>
      <c r="K6" s="24"/>
      <c r="L6" s="24"/>
      <c r="M6" s="25"/>
      <c r="N6" s="32" t="s">
        <v>30</v>
      </c>
      <c r="O6" s="33"/>
      <c r="P6" s="33"/>
    </row>
    <row r="7" spans="1:16" ht="27" x14ac:dyDescent="0.25">
      <c r="A7" s="13" t="s">
        <v>0</v>
      </c>
      <c r="B7" s="14" t="s">
        <v>1</v>
      </c>
      <c r="C7" s="14" t="s">
        <v>23</v>
      </c>
      <c r="D7" s="12" t="s">
        <v>2</v>
      </c>
      <c r="E7" s="14" t="s">
        <v>3</v>
      </c>
      <c r="F7" s="15" t="s">
        <v>4</v>
      </c>
      <c r="G7" s="16" t="s">
        <v>5</v>
      </c>
      <c r="H7" s="17" t="s">
        <v>6</v>
      </c>
      <c r="I7" s="16" t="s">
        <v>7</v>
      </c>
      <c r="J7" s="15" t="s">
        <v>8</v>
      </c>
      <c r="K7" s="19" t="s">
        <v>9</v>
      </c>
      <c r="L7" s="20" t="s">
        <v>10</v>
      </c>
      <c r="M7" s="19" t="s">
        <v>11</v>
      </c>
      <c r="N7" s="18" t="s">
        <v>19</v>
      </c>
      <c r="O7" s="18" t="s">
        <v>12</v>
      </c>
      <c r="P7" s="21" t="s">
        <v>13</v>
      </c>
    </row>
    <row r="8" spans="1:16" ht="15.75" x14ac:dyDescent="0.25">
      <c r="A8" s="7">
        <v>11</v>
      </c>
      <c r="B8" s="7" t="s">
        <v>22</v>
      </c>
      <c r="C8" s="7" t="s">
        <v>24</v>
      </c>
      <c r="D8" s="29" t="s">
        <v>25</v>
      </c>
      <c r="E8" s="8">
        <v>774</v>
      </c>
      <c r="F8" s="8">
        <v>1897</v>
      </c>
      <c r="G8" s="9">
        <f t="shared" ref="G8" si="0">(E8/1000+F8/1000)*2</f>
        <v>5.3420000000000005</v>
      </c>
      <c r="H8" s="9">
        <f t="shared" ref="H8" si="1">E8/1000*F8/1000</f>
        <v>1.468278</v>
      </c>
      <c r="I8" s="9">
        <f t="shared" ref="I8" si="2">(ROUNDUP(E8/50,0)*50/1000*ROUNDUP(F8/50,0)*50/1000)</f>
        <v>1.52</v>
      </c>
      <c r="J8" s="12">
        <v>2</v>
      </c>
      <c r="K8" s="10">
        <f t="shared" ref="K8" si="3">G8*J8</f>
        <v>10.684000000000001</v>
      </c>
      <c r="L8" s="10">
        <f t="shared" ref="L8" si="4">H8*J8</f>
        <v>2.9365559999999999</v>
      </c>
      <c r="M8" s="10">
        <f t="shared" ref="M8" si="5">I8*J8</f>
        <v>3.04</v>
      </c>
      <c r="N8" s="10" t="s">
        <v>21</v>
      </c>
      <c r="O8" s="11">
        <v>46045</v>
      </c>
      <c r="P8" s="7"/>
    </row>
    <row r="9" spans="1:16" x14ac:dyDescent="0.25">
      <c r="G9" s="27">
        <f t="shared" ref="G9:M9" si="6">SUM(G8:G8)</f>
        <v>5.3420000000000005</v>
      </c>
      <c r="H9" s="27">
        <f t="shared" si="6"/>
        <v>1.468278</v>
      </c>
      <c r="I9" s="27">
        <f t="shared" si="6"/>
        <v>1.52</v>
      </c>
      <c r="J9" s="28">
        <f t="shared" si="6"/>
        <v>2</v>
      </c>
      <c r="K9" s="27">
        <f t="shared" si="6"/>
        <v>10.684000000000001</v>
      </c>
      <c r="L9" s="27">
        <f t="shared" si="6"/>
        <v>2.9365559999999999</v>
      </c>
      <c r="M9" s="27">
        <f t="shared" si="6"/>
        <v>3.04</v>
      </c>
    </row>
    <row r="11" spans="1:16" x14ac:dyDescent="0.25">
      <c r="A11" s="2" t="s">
        <v>14</v>
      </c>
    </row>
    <row r="12" spans="1:16" x14ac:dyDescent="0.25">
      <c r="A12" s="2"/>
    </row>
    <row r="13" spans="1:16" x14ac:dyDescent="0.25">
      <c r="A13" s="2" t="s">
        <v>15</v>
      </c>
    </row>
    <row r="14" spans="1:16" x14ac:dyDescent="0.25">
      <c r="A14" s="2" t="s">
        <v>16</v>
      </c>
    </row>
    <row r="15" spans="1:16" x14ac:dyDescent="0.25">
      <c r="A15" s="2" t="s">
        <v>17</v>
      </c>
    </row>
    <row r="16" spans="1:16" x14ac:dyDescent="0.25">
      <c r="A16" s="2" t="s">
        <v>18</v>
      </c>
    </row>
    <row r="359" spans="16:16" x14ac:dyDescent="0.25">
      <c r="P359" s="5"/>
    </row>
  </sheetData>
  <mergeCells count="7">
    <mergeCell ref="A2:O2"/>
    <mergeCell ref="A3:O3"/>
    <mergeCell ref="N5:O5"/>
    <mergeCell ref="N6:P6"/>
    <mergeCell ref="A5:M5"/>
    <mergeCell ref="A6:E6"/>
    <mergeCell ref="F6:H6"/>
  </mergeCells>
  <phoneticPr fontId="1" type="noConversion"/>
  <printOptions horizontalCentered="1" verticalCentered="1"/>
  <pageMargins left="0.23622047244094491" right="0.23622047244094491" top="0.74803149606299213" bottom="0.55118110236220474" header="0.31496062992125984" footer="0.31496062992125984"/>
  <pageSetup paperSize="9" scale="53" fitToHeight="0" orientation="landscape" r:id="rId1"/>
  <headerFooter>
    <oddFooter>&amp;C
&amp;R&amp;P/&amp;N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 DE VIDROS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Rodergas</dc:creator>
  <cp:keywords/>
  <dc:description/>
  <cp:lastModifiedBy>CristalMais Técnica</cp:lastModifiedBy>
  <cp:revision/>
  <cp:lastPrinted>2026-01-23T12:38:44Z</cp:lastPrinted>
  <dcterms:created xsi:type="dcterms:W3CDTF">2014-08-12T13:51:14Z</dcterms:created>
  <dcterms:modified xsi:type="dcterms:W3CDTF">2026-01-23T17:52:15Z</dcterms:modified>
  <cp:category/>
  <cp:contentStatus/>
</cp:coreProperties>
</file>