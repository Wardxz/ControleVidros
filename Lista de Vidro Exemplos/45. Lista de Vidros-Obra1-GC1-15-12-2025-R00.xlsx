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cnica2\Desktop\Lista de Vidro Exemplos\"/>
    </mc:Choice>
  </mc:AlternateContent>
  <xr:revisionPtr revIDLastSave="0" documentId="13_ncr:1_{E5120BC5-CBCD-4AEB-A736-5B29B9F659BA}" xr6:coauthVersionLast="47" xr6:coauthVersionMax="47" xr10:uidLastSave="{00000000-0000-0000-0000-000000000000}"/>
  <bookViews>
    <workbookView xWindow="0" yWindow="1560" windowWidth="24000" windowHeight="9120" tabRatio="821" xr2:uid="{450932F4-84E9-404D-AFEE-654AB7948288}"/>
  </bookViews>
  <sheets>
    <sheet name="LISTA DE VIDROS" sheetId="1" r:id="rId1"/>
  </sheets>
  <definedNames>
    <definedName name="_xlnm._FilterDatabase" localSheetId="0" hidden="1">#N/A</definedName>
    <definedName name="_xlnm.Print_Area" localSheetId="0">#N/A</definedName>
    <definedName name="_xlnm.Print_Titles" localSheetId="0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G20" i="1"/>
  <c r="K20" i="1" s="1"/>
  <c r="H20" i="1"/>
  <c r="L20" i="1" s="1"/>
  <c r="I20" i="1"/>
  <c r="M20" i="1" s="1"/>
  <c r="I12" i="1" l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H12" i="1"/>
  <c r="L12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10" i="1" l="1"/>
  <c r="K10" i="1" s="1"/>
  <c r="H10" i="1"/>
  <c r="L10" i="1" s="1"/>
  <c r="I10" i="1"/>
  <c r="M10" i="1" s="1"/>
  <c r="G11" i="1"/>
  <c r="K11" i="1" s="1"/>
  <c r="H11" i="1"/>
  <c r="L11" i="1" s="1"/>
  <c r="I11" i="1"/>
  <c r="M11" i="1" s="1"/>
  <c r="G8" i="1"/>
  <c r="H8" i="1"/>
  <c r="I8" i="1"/>
  <c r="G9" i="1"/>
  <c r="H9" i="1"/>
  <c r="L9" i="1" s="1"/>
  <c r="I9" i="1"/>
  <c r="H21" i="1" l="1"/>
  <c r="G21" i="1"/>
  <c r="I21" i="1"/>
  <c r="M9" i="1"/>
  <c r="K9" i="1"/>
  <c r="L8" i="1"/>
  <c r="L21" i="1" s="1"/>
  <c r="K8" i="1"/>
  <c r="M8" i="1"/>
  <c r="M21" i="1" s="1"/>
  <c r="K21" i="1" l="1"/>
</calcChain>
</file>

<file path=xl/sharedStrings.xml><?xml version="1.0" encoding="utf-8"?>
<sst xmlns="http://schemas.openxmlformats.org/spreadsheetml/2006/main" count="92" uniqueCount="44">
  <si>
    <t>REVISÃO: 00</t>
  </si>
  <si>
    <t>Item</t>
  </si>
  <si>
    <t>Tipo</t>
  </si>
  <si>
    <t>Especificação</t>
  </si>
  <si>
    <t>Largura (mm)</t>
  </si>
  <si>
    <t>Altura (mm)</t>
  </si>
  <si>
    <t>Perím. (mm)</t>
  </si>
  <si>
    <t>Área (m²)</t>
  </si>
  <si>
    <t>Área (m²)2</t>
  </si>
  <si>
    <t>Quant. (pç)</t>
  </si>
  <si>
    <t>Perím. (m)</t>
  </si>
  <si>
    <t>Área (m²)3</t>
  </si>
  <si>
    <t>Área  (m²)</t>
  </si>
  <si>
    <t>Local Entrega</t>
  </si>
  <si>
    <t>Data Solicitada</t>
  </si>
  <si>
    <t>Obs.</t>
  </si>
  <si>
    <t>POE - 850 - MANHATTAN_SHOPPING - QUANTITATIVO DE ESQUADRIA E VIDROS - ATUALIZAÇÃO 04</t>
  </si>
  <si>
    <t>Considerções importantes:</t>
  </si>
  <si>
    <t>1. Todas as medidas de vidros desta planilha são dimensões finais para fabricação, isto é, já estão com folga.</t>
  </si>
  <si>
    <t>2. Os vidros deverão ter suas bordas lapidadas e sem defasagem.</t>
  </si>
  <si>
    <t>3. A produção dos vidros deverá respeitar as recomendações das Normas Brasileiras ABNT em vigor, especialmente a NBR-14697, NBR NM-293 e a NBR-7199.</t>
  </si>
  <si>
    <t>4. As peças de vidro deverão ser identificadas com suas dimensões e sua posição.</t>
  </si>
  <si>
    <t>OBRA</t>
  </si>
  <si>
    <t>Código</t>
  </si>
  <si>
    <t>VIDRO LAMINADO 8mm BRONZE (PVB 6452) GUARDA CORPO</t>
  </si>
  <si>
    <t>LISTA DE VIDROS - Nº45</t>
  </si>
  <si>
    <t>GC1</t>
  </si>
  <si>
    <t>VG1</t>
  </si>
  <si>
    <t>VG2</t>
  </si>
  <si>
    <t>VG3</t>
  </si>
  <si>
    <t>VG4A</t>
  </si>
  <si>
    <t>GC1_1</t>
  </si>
  <si>
    <t>VG6</t>
  </si>
  <si>
    <t>VF7</t>
  </si>
  <si>
    <t>VG8</t>
  </si>
  <si>
    <t>VG9</t>
  </si>
  <si>
    <t>VG10</t>
  </si>
  <si>
    <t>VG13</t>
  </si>
  <si>
    <t>VG12</t>
  </si>
  <si>
    <t>VG11</t>
  </si>
  <si>
    <t>CLIENTE: Cliente 1</t>
  </si>
  <si>
    <t>OBRA: Obra 1 - GUARDA CORPO TORRE 1</t>
  </si>
  <si>
    <t>DATA: 23/01/2026</t>
  </si>
  <si>
    <t>EMITENTE: Arthur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</si>
</sst>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/d/yyyy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5" fillId="0" borderId="0" xfId="0" applyNumberFormat="1" applyFont="1"/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DC199-BCAE-4FDE-8540-D0479F8919FD}" name="Tabela1" displayName="Tabela1" ref="A7:P20" totalsRowShown="0" dataDxfId="17" tableBorderDxfId="16">
  <autoFilter ref="A7:P20" xr:uid="{E60EDE38-0189-4F15-888C-DEB51BCC1CDE}"/>
  <tableColumns count="16">
    <tableColumn id="1" xr3:uid="{00000000-0010-0000-0100-000001000000}" name="Item" dataDxfId="15"/>
    <tableColumn id="4" xr3:uid="{00000000-0010-0000-0100-000004000000}" name="Tipo" dataDxfId="14"/>
    <tableColumn id="2" xr3:uid="{34293DA4-3F7B-455F-91B3-2F5FF9AE886F}" name="Código" dataDxfId="13"/>
    <tableColumn id="5" xr3:uid="{00000000-0010-0000-0100-000005000000}" name="Especificação" dataDxfId="12"/>
    <tableColumn id="6" xr3:uid="{00000000-0010-0000-0100-000006000000}" name="Largura (mm)" dataDxfId="11"/>
    <tableColumn id="7" xr3:uid="{00000000-0010-0000-0100-000007000000}" name="Altura (mm)" dataDxfId="10"/>
    <tableColumn id="8" xr3:uid="{00000000-0010-0000-0100-000008000000}" name="Perím. (mm)" dataDxfId="9"/>
    <tableColumn id="9" xr3:uid="{00000000-0010-0000-0100-000009000000}" name="Área (m²)" dataDxfId="8"/>
    <tableColumn id="10" xr3:uid="{00000000-0010-0000-0100-00000A000000}" name="Área (m²)2" dataDxfId="7"/>
    <tableColumn id="11" xr3:uid="{00000000-0010-0000-0100-00000B000000}" name="Quant. (pç)" dataDxfId="6"/>
    <tableColumn id="12" xr3:uid="{00000000-0010-0000-0100-00000C000000}" name="Perím. (m)" dataDxfId="5"/>
    <tableColumn id="13" xr3:uid="{00000000-0010-0000-0100-00000D000000}" name="Área (m²)3" dataDxfId="4"/>
    <tableColumn id="14" xr3:uid="{00000000-0010-0000-0100-00000E000000}" name="Área  (m²)" dataDxfId="3"/>
    <tableColumn id="15" xr3:uid="{00000000-0010-0000-0100-00000F000000}" name="Local Entrega" dataDxfId="2"/>
    <tableColumn id="16" xr3:uid="{00000000-0010-0000-0100-000010000000}" name="Data Solicitada" dataDxfId="1"/>
    <tableColumn id="17" xr3:uid="{00000000-0010-0000-0100-000011000000}" name="Ob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1146-F8D7-49BE-AB4D-E1DB6524FCD1}">
  <sheetPr>
    <pageSetUpPr fitToPage="1"/>
  </sheetPr>
  <dimension ref="A2:V354"/>
  <sheetViews>
    <sheetView showGridLines="0" tabSelected="1" zoomScaleNormal="100" workbookViewId="0">
      <selection activeCell="N6" sqref="N6:P6"/>
    </sheetView>
  </sheetViews>
  <sheetFormatPr defaultRowHeight="15" x14ac:dyDescent="0.25"/>
  <cols>
    <col min="1" max="1" width="8.7109375" style="1" customWidth="1"/>
    <col min="2" max="2" width="18.28515625" style="1" bestFit="1" customWidth="1"/>
    <col min="3" max="3" width="11.7109375" style="1" customWidth="1"/>
    <col min="4" max="4" width="60.5703125" style="2" bestFit="1" customWidth="1"/>
    <col min="5" max="6" width="18.7109375" style="1" customWidth="1"/>
    <col min="7" max="7" width="17.7109375" style="3" customWidth="1"/>
    <col min="8" max="9" width="15.7109375" style="3" customWidth="1"/>
    <col min="10" max="13" width="15.7109375" style="4" customWidth="1"/>
    <col min="14" max="14" width="17.7109375" style="6" customWidth="1"/>
    <col min="15" max="15" width="20.7109375" style="1" customWidth="1"/>
    <col min="16" max="16" width="89" style="1" bestFit="1" customWidth="1"/>
    <col min="17" max="22" width="9.140625" style="1"/>
  </cols>
  <sheetData>
    <row r="2" spans="1:16" ht="25.5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6" ht="25.5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6" ht="18.75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6" x14ac:dyDescent="0.25">
      <c r="A5" s="35" t="s">
        <v>40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8"/>
      <c r="N5" s="32" t="s">
        <v>43</v>
      </c>
      <c r="O5" s="33"/>
      <c r="P5" s="24" t="s">
        <v>0</v>
      </c>
    </row>
    <row r="6" spans="1:16" x14ac:dyDescent="0.25">
      <c r="A6" s="34" t="s">
        <v>41</v>
      </c>
      <c r="B6" s="34"/>
      <c r="C6" s="34"/>
      <c r="D6" s="34"/>
      <c r="E6" s="34"/>
      <c r="F6" s="39" t="s">
        <v>25</v>
      </c>
      <c r="G6" s="40"/>
      <c r="H6" s="40"/>
      <c r="I6" s="27"/>
      <c r="J6" s="25"/>
      <c r="K6" s="25"/>
      <c r="L6" s="25"/>
      <c r="M6" s="26"/>
      <c r="N6" s="33" t="s">
        <v>42</v>
      </c>
      <c r="O6" s="34"/>
      <c r="P6" s="34"/>
    </row>
    <row r="7" spans="1:16" ht="27" x14ac:dyDescent="0.25">
      <c r="A7" s="13" t="s">
        <v>1</v>
      </c>
      <c r="B7" s="14" t="s">
        <v>2</v>
      </c>
      <c r="C7" s="14" t="s">
        <v>23</v>
      </c>
      <c r="D7" s="12" t="s">
        <v>3</v>
      </c>
      <c r="E7" s="14" t="s">
        <v>4</v>
      </c>
      <c r="F7" s="16" t="s">
        <v>5</v>
      </c>
      <c r="G7" s="17" t="s">
        <v>6</v>
      </c>
      <c r="H7" s="18" t="s">
        <v>7</v>
      </c>
      <c r="I7" s="17" t="s">
        <v>8</v>
      </c>
      <c r="J7" s="16" t="s">
        <v>9</v>
      </c>
      <c r="K7" s="20" t="s">
        <v>10</v>
      </c>
      <c r="L7" s="21" t="s">
        <v>11</v>
      </c>
      <c r="M7" s="20" t="s">
        <v>12</v>
      </c>
      <c r="N7" s="19" t="s">
        <v>13</v>
      </c>
      <c r="O7" s="19" t="s">
        <v>14</v>
      </c>
      <c r="P7" s="22" t="s">
        <v>15</v>
      </c>
    </row>
    <row r="8" spans="1:16" ht="15.75" x14ac:dyDescent="0.25">
      <c r="A8" s="7">
        <v>1</v>
      </c>
      <c r="B8" s="7" t="s">
        <v>26</v>
      </c>
      <c r="C8" s="7" t="s">
        <v>27</v>
      </c>
      <c r="D8" s="15" t="s">
        <v>24</v>
      </c>
      <c r="E8" s="8">
        <v>1241</v>
      </c>
      <c r="F8" s="8">
        <v>1236</v>
      </c>
      <c r="G8" s="9">
        <f t="shared" ref="G8:G19" si="0">(E8/1000+F8/1000)*2</f>
        <v>4.9540000000000006</v>
      </c>
      <c r="H8" s="9">
        <f t="shared" ref="H8:H19" si="1">E8/1000*F8/1000</f>
        <v>1.5338760000000002</v>
      </c>
      <c r="I8" s="9">
        <f t="shared" ref="I8:I19" si="2">(ROUNDUP(E8/50,0)*50/1000*ROUNDUP(F8/50,0)*50/1000)</f>
        <v>1.5625</v>
      </c>
      <c r="J8" s="12">
        <v>2</v>
      </c>
      <c r="K8" s="10">
        <f t="shared" ref="K8:K19" si="3">G8*J8</f>
        <v>9.9080000000000013</v>
      </c>
      <c r="L8" s="10">
        <f t="shared" ref="L8:L19" si="4">H8*J8</f>
        <v>3.0677520000000005</v>
      </c>
      <c r="M8" s="10">
        <f t="shared" ref="M8:M19" si="5">I8*J8</f>
        <v>3.125</v>
      </c>
      <c r="N8" s="10" t="s">
        <v>22</v>
      </c>
      <c r="O8" s="11"/>
      <c r="P8" s="7" t="s">
        <v>16</v>
      </c>
    </row>
    <row r="9" spans="1:16" ht="15.75" x14ac:dyDescent="0.25">
      <c r="A9" s="7">
        <v>2</v>
      </c>
      <c r="B9" s="7" t="s">
        <v>26</v>
      </c>
      <c r="C9" s="7" t="s">
        <v>28</v>
      </c>
      <c r="D9" s="15" t="s">
        <v>24</v>
      </c>
      <c r="E9" s="8">
        <v>1227</v>
      </c>
      <c r="F9" s="8">
        <v>1236</v>
      </c>
      <c r="G9" s="9">
        <f t="shared" si="0"/>
        <v>4.9260000000000002</v>
      </c>
      <c r="H9" s="9">
        <f t="shared" si="1"/>
        <v>1.516572</v>
      </c>
      <c r="I9" s="9">
        <f t="shared" si="2"/>
        <v>1.5625</v>
      </c>
      <c r="J9" s="12">
        <v>2</v>
      </c>
      <c r="K9" s="10">
        <f t="shared" si="3"/>
        <v>9.8520000000000003</v>
      </c>
      <c r="L9" s="10">
        <f t="shared" si="4"/>
        <v>3.0331440000000001</v>
      </c>
      <c r="M9" s="10">
        <f t="shared" si="5"/>
        <v>3.125</v>
      </c>
      <c r="N9" s="10" t="s">
        <v>22</v>
      </c>
      <c r="O9" s="11"/>
      <c r="P9" s="7" t="s">
        <v>16</v>
      </c>
    </row>
    <row r="10" spans="1:16" ht="15.75" x14ac:dyDescent="0.25">
      <c r="A10" s="7">
        <v>3</v>
      </c>
      <c r="B10" s="7" t="s">
        <v>26</v>
      </c>
      <c r="C10" s="7" t="s">
        <v>29</v>
      </c>
      <c r="D10" s="15" t="s">
        <v>24</v>
      </c>
      <c r="E10" s="8">
        <v>1367</v>
      </c>
      <c r="F10" s="8">
        <v>1236</v>
      </c>
      <c r="G10" s="9">
        <f t="shared" si="0"/>
        <v>5.2059999999999995</v>
      </c>
      <c r="H10" s="9">
        <f t="shared" si="1"/>
        <v>1.6896120000000001</v>
      </c>
      <c r="I10" s="9">
        <f t="shared" si="2"/>
        <v>1.75</v>
      </c>
      <c r="J10" s="12">
        <v>2</v>
      </c>
      <c r="K10" s="10">
        <f t="shared" si="3"/>
        <v>10.411999999999999</v>
      </c>
      <c r="L10" s="10">
        <f t="shared" si="4"/>
        <v>3.3792240000000002</v>
      </c>
      <c r="M10" s="10">
        <f t="shared" si="5"/>
        <v>3.5</v>
      </c>
      <c r="N10" s="10" t="s">
        <v>22</v>
      </c>
      <c r="O10" s="11"/>
      <c r="P10" s="7" t="s">
        <v>16</v>
      </c>
    </row>
    <row r="11" spans="1:16" ht="15.75" x14ac:dyDescent="0.25">
      <c r="A11" s="7">
        <v>4</v>
      </c>
      <c r="B11" s="7" t="s">
        <v>26</v>
      </c>
      <c r="C11" s="7" t="s">
        <v>30</v>
      </c>
      <c r="D11" s="15" t="s">
        <v>24</v>
      </c>
      <c r="E11" s="8">
        <v>1287</v>
      </c>
      <c r="F11" s="8">
        <v>1236</v>
      </c>
      <c r="G11" s="9">
        <f t="shared" si="0"/>
        <v>5.0459999999999994</v>
      </c>
      <c r="H11" s="9">
        <f t="shared" si="1"/>
        <v>1.590732</v>
      </c>
      <c r="I11" s="9">
        <f t="shared" si="2"/>
        <v>1.625</v>
      </c>
      <c r="J11" s="12">
        <v>2</v>
      </c>
      <c r="K11" s="10">
        <f t="shared" si="3"/>
        <v>10.091999999999999</v>
      </c>
      <c r="L11" s="10">
        <f t="shared" si="4"/>
        <v>3.1814640000000001</v>
      </c>
      <c r="M11" s="10">
        <f t="shared" si="5"/>
        <v>3.25</v>
      </c>
      <c r="N11" s="10" t="s">
        <v>22</v>
      </c>
      <c r="O11" s="11"/>
      <c r="P11" s="7" t="s">
        <v>16</v>
      </c>
    </row>
    <row r="12" spans="1:16" ht="15.75" x14ac:dyDescent="0.25">
      <c r="A12" s="7">
        <v>5</v>
      </c>
      <c r="B12" s="7" t="s">
        <v>26</v>
      </c>
      <c r="C12" s="7" t="s">
        <v>30</v>
      </c>
      <c r="D12" s="15" t="s">
        <v>24</v>
      </c>
      <c r="E12" s="8">
        <v>1136</v>
      </c>
      <c r="F12" s="8">
        <v>1236</v>
      </c>
      <c r="G12" s="9">
        <f t="shared" si="0"/>
        <v>4.7439999999999998</v>
      </c>
      <c r="H12" s="9">
        <f t="shared" si="1"/>
        <v>1.4040959999999998</v>
      </c>
      <c r="I12" s="9">
        <f t="shared" si="2"/>
        <v>1.4374999999999998</v>
      </c>
      <c r="J12" s="12">
        <v>12</v>
      </c>
      <c r="K12" s="10">
        <f t="shared" si="3"/>
        <v>56.927999999999997</v>
      </c>
      <c r="L12" s="10">
        <f t="shared" si="4"/>
        <v>16.849151999999997</v>
      </c>
      <c r="M12" s="10">
        <f t="shared" si="5"/>
        <v>17.249999999999996</v>
      </c>
      <c r="N12" s="10" t="s">
        <v>22</v>
      </c>
      <c r="O12" s="11"/>
      <c r="P12" s="7" t="s">
        <v>16</v>
      </c>
    </row>
    <row r="13" spans="1:16" ht="15.75" x14ac:dyDescent="0.25">
      <c r="A13" s="7">
        <v>6</v>
      </c>
      <c r="B13" s="7" t="s">
        <v>31</v>
      </c>
      <c r="C13" s="7" t="s">
        <v>32</v>
      </c>
      <c r="D13" s="15" t="s">
        <v>24</v>
      </c>
      <c r="E13" s="8">
        <v>1241</v>
      </c>
      <c r="F13" s="8">
        <v>1236</v>
      </c>
      <c r="G13" s="9">
        <f t="shared" si="0"/>
        <v>4.9540000000000006</v>
      </c>
      <c r="H13" s="9">
        <f t="shared" si="1"/>
        <v>1.5338760000000002</v>
      </c>
      <c r="I13" s="9">
        <f t="shared" si="2"/>
        <v>1.5625</v>
      </c>
      <c r="J13" s="12">
        <v>1</v>
      </c>
      <c r="K13" s="10">
        <f t="shared" si="3"/>
        <v>4.9540000000000006</v>
      </c>
      <c r="L13" s="10">
        <f t="shared" si="4"/>
        <v>1.5338760000000002</v>
      </c>
      <c r="M13" s="10">
        <f t="shared" si="5"/>
        <v>1.5625</v>
      </c>
      <c r="N13" s="10" t="s">
        <v>22</v>
      </c>
      <c r="O13" s="11"/>
      <c r="P13" s="7" t="s">
        <v>16</v>
      </c>
    </row>
    <row r="14" spans="1:16" ht="15.75" x14ac:dyDescent="0.25">
      <c r="A14" s="7">
        <v>7</v>
      </c>
      <c r="B14" s="7" t="s">
        <v>31</v>
      </c>
      <c r="C14" s="7" t="s">
        <v>33</v>
      </c>
      <c r="D14" s="15" t="s">
        <v>24</v>
      </c>
      <c r="E14" s="8">
        <v>1227</v>
      </c>
      <c r="F14" s="8">
        <v>1236</v>
      </c>
      <c r="G14" s="9">
        <f t="shared" si="0"/>
        <v>4.9260000000000002</v>
      </c>
      <c r="H14" s="9">
        <f t="shared" si="1"/>
        <v>1.516572</v>
      </c>
      <c r="I14" s="9">
        <f t="shared" si="2"/>
        <v>1.5625</v>
      </c>
      <c r="J14" s="12">
        <v>1</v>
      </c>
      <c r="K14" s="10">
        <f t="shared" si="3"/>
        <v>4.9260000000000002</v>
      </c>
      <c r="L14" s="10">
        <f t="shared" si="4"/>
        <v>1.516572</v>
      </c>
      <c r="M14" s="10">
        <f t="shared" si="5"/>
        <v>1.5625</v>
      </c>
      <c r="N14" s="10" t="s">
        <v>22</v>
      </c>
      <c r="O14" s="11"/>
      <c r="P14" s="7" t="s">
        <v>16</v>
      </c>
    </row>
    <row r="15" spans="1:16" ht="15.75" x14ac:dyDescent="0.25">
      <c r="A15" s="7">
        <v>8</v>
      </c>
      <c r="B15" s="7" t="s">
        <v>31</v>
      </c>
      <c r="C15" s="7" t="s">
        <v>34</v>
      </c>
      <c r="D15" s="15" t="s">
        <v>24</v>
      </c>
      <c r="E15" s="8">
        <v>1367</v>
      </c>
      <c r="F15" s="8">
        <v>1236</v>
      </c>
      <c r="G15" s="9">
        <f t="shared" si="0"/>
        <v>5.2059999999999995</v>
      </c>
      <c r="H15" s="9">
        <f t="shared" si="1"/>
        <v>1.6896120000000001</v>
      </c>
      <c r="I15" s="9">
        <f t="shared" si="2"/>
        <v>1.75</v>
      </c>
      <c r="J15" s="12">
        <v>1</v>
      </c>
      <c r="K15" s="10">
        <f t="shared" si="3"/>
        <v>5.2059999999999995</v>
      </c>
      <c r="L15" s="10">
        <f t="shared" si="4"/>
        <v>1.6896120000000001</v>
      </c>
      <c r="M15" s="10">
        <f t="shared" si="5"/>
        <v>1.75</v>
      </c>
      <c r="N15" s="10" t="s">
        <v>22</v>
      </c>
      <c r="O15" s="11"/>
      <c r="P15" s="7" t="s">
        <v>16</v>
      </c>
    </row>
    <row r="16" spans="1:16" ht="15.75" x14ac:dyDescent="0.25">
      <c r="A16" s="7">
        <v>9</v>
      </c>
      <c r="B16" s="7" t="s">
        <v>31</v>
      </c>
      <c r="C16" s="7" t="s">
        <v>35</v>
      </c>
      <c r="D16" s="15" t="s">
        <v>24</v>
      </c>
      <c r="E16" s="8">
        <v>1290</v>
      </c>
      <c r="F16" s="8">
        <v>1236</v>
      </c>
      <c r="G16" s="9">
        <f t="shared" si="0"/>
        <v>5.0519999999999996</v>
      </c>
      <c r="H16" s="9">
        <f t="shared" si="1"/>
        <v>1.5944400000000001</v>
      </c>
      <c r="I16" s="9">
        <f t="shared" si="2"/>
        <v>1.625</v>
      </c>
      <c r="J16" s="12">
        <v>2</v>
      </c>
      <c r="K16" s="10">
        <f t="shared" si="3"/>
        <v>10.103999999999999</v>
      </c>
      <c r="L16" s="10">
        <f t="shared" si="4"/>
        <v>3.1888800000000002</v>
      </c>
      <c r="M16" s="10">
        <f t="shared" si="5"/>
        <v>3.25</v>
      </c>
      <c r="N16" s="10" t="s">
        <v>22</v>
      </c>
      <c r="O16" s="11"/>
      <c r="P16" s="7" t="s">
        <v>16</v>
      </c>
    </row>
    <row r="17" spans="1:16" ht="15.75" x14ac:dyDescent="0.25">
      <c r="A17" s="7">
        <v>10</v>
      </c>
      <c r="B17" s="7" t="s">
        <v>31</v>
      </c>
      <c r="C17" s="7" t="s">
        <v>36</v>
      </c>
      <c r="D17" s="15" t="s">
        <v>24</v>
      </c>
      <c r="E17" s="8">
        <v>1139</v>
      </c>
      <c r="F17" s="8">
        <v>1236</v>
      </c>
      <c r="G17" s="9">
        <f t="shared" si="0"/>
        <v>4.75</v>
      </c>
      <c r="H17" s="9">
        <f t="shared" si="1"/>
        <v>1.4078040000000001</v>
      </c>
      <c r="I17" s="9">
        <f t="shared" si="2"/>
        <v>1.4374999999999998</v>
      </c>
      <c r="J17" s="12">
        <v>12</v>
      </c>
      <c r="K17" s="10">
        <f t="shared" si="3"/>
        <v>57</v>
      </c>
      <c r="L17" s="10">
        <f t="shared" si="4"/>
        <v>16.893647999999999</v>
      </c>
      <c r="M17" s="10">
        <f t="shared" si="5"/>
        <v>17.249999999999996</v>
      </c>
      <c r="N17" s="10" t="s">
        <v>22</v>
      </c>
      <c r="O17" s="11"/>
      <c r="P17" s="7" t="s">
        <v>16</v>
      </c>
    </row>
    <row r="18" spans="1:16" ht="15.75" x14ac:dyDescent="0.25">
      <c r="A18" s="7">
        <v>11</v>
      </c>
      <c r="B18" s="7" t="s">
        <v>31</v>
      </c>
      <c r="C18" s="7" t="s">
        <v>37</v>
      </c>
      <c r="D18" s="15" t="s">
        <v>24</v>
      </c>
      <c r="E18" s="8">
        <v>1228</v>
      </c>
      <c r="F18" s="8">
        <v>1236</v>
      </c>
      <c r="G18" s="9">
        <f t="shared" si="0"/>
        <v>4.9279999999999999</v>
      </c>
      <c r="H18" s="9">
        <f t="shared" si="1"/>
        <v>1.517808</v>
      </c>
      <c r="I18" s="9">
        <f t="shared" si="2"/>
        <v>1.5625</v>
      </c>
      <c r="J18" s="12">
        <v>1</v>
      </c>
      <c r="K18" s="10">
        <f t="shared" si="3"/>
        <v>4.9279999999999999</v>
      </c>
      <c r="L18" s="10">
        <f t="shared" si="4"/>
        <v>1.517808</v>
      </c>
      <c r="M18" s="10">
        <f t="shared" si="5"/>
        <v>1.5625</v>
      </c>
      <c r="N18" s="10" t="s">
        <v>22</v>
      </c>
      <c r="O18" s="11"/>
      <c r="P18" s="7" t="s">
        <v>16</v>
      </c>
    </row>
    <row r="19" spans="1:16" ht="15.75" x14ac:dyDescent="0.25">
      <c r="A19" s="7">
        <v>12</v>
      </c>
      <c r="B19" s="7" t="s">
        <v>31</v>
      </c>
      <c r="C19" s="7" t="s">
        <v>38</v>
      </c>
      <c r="D19" s="15" t="s">
        <v>24</v>
      </c>
      <c r="E19" s="8">
        <v>1214</v>
      </c>
      <c r="F19" s="8">
        <v>1236</v>
      </c>
      <c r="G19" s="9">
        <f t="shared" si="0"/>
        <v>4.9000000000000004</v>
      </c>
      <c r="H19" s="9">
        <f t="shared" si="1"/>
        <v>1.5005039999999998</v>
      </c>
      <c r="I19" s="9">
        <f t="shared" si="2"/>
        <v>1.5625</v>
      </c>
      <c r="J19" s="12">
        <v>1</v>
      </c>
      <c r="K19" s="10">
        <f t="shared" si="3"/>
        <v>4.9000000000000004</v>
      </c>
      <c r="L19" s="10">
        <f t="shared" si="4"/>
        <v>1.5005039999999998</v>
      </c>
      <c r="M19" s="10">
        <f t="shared" si="5"/>
        <v>1.5625</v>
      </c>
      <c r="N19" s="10" t="s">
        <v>22</v>
      </c>
      <c r="O19" s="11"/>
      <c r="P19" s="7" t="s">
        <v>16</v>
      </c>
    </row>
    <row r="20" spans="1:16" ht="15.75" x14ac:dyDescent="0.25">
      <c r="A20" s="7">
        <v>13</v>
      </c>
      <c r="B20" s="7" t="s">
        <v>31</v>
      </c>
      <c r="C20" s="7" t="s">
        <v>39</v>
      </c>
      <c r="D20" s="15" t="s">
        <v>24</v>
      </c>
      <c r="E20" s="8">
        <v>1353</v>
      </c>
      <c r="F20" s="8">
        <v>1236</v>
      </c>
      <c r="G20" s="9">
        <f t="shared" ref="G20" si="6">(E20/1000+F20/1000)*2</f>
        <v>5.1779999999999999</v>
      </c>
      <c r="H20" s="9">
        <f t="shared" ref="H20" si="7">E20/1000*F20/1000</f>
        <v>1.6723079999999999</v>
      </c>
      <c r="I20" s="9">
        <f t="shared" ref="I20" si="8">(ROUNDUP(E20/50,0)*50/1000*ROUNDUP(F20/50,0)*50/1000)</f>
        <v>1.75</v>
      </c>
      <c r="J20" s="12">
        <v>1</v>
      </c>
      <c r="K20" s="10">
        <f t="shared" ref="K20" si="9">G20*J20</f>
        <v>5.1779999999999999</v>
      </c>
      <c r="L20" s="10">
        <f t="shared" ref="L20" si="10">H20*J20</f>
        <v>1.6723079999999999</v>
      </c>
      <c r="M20" s="10">
        <f t="shared" ref="M20" si="11">I20*J20</f>
        <v>1.75</v>
      </c>
      <c r="N20" s="10" t="s">
        <v>22</v>
      </c>
      <c r="O20" s="28"/>
      <c r="P20" s="7" t="s">
        <v>16</v>
      </c>
    </row>
    <row r="21" spans="1:16" x14ac:dyDescent="0.25">
      <c r="G21" s="29">
        <f t="shared" ref="G21:M21" si="12">SUM(G8:G20)</f>
        <v>64.77</v>
      </c>
      <c r="H21" s="29">
        <f t="shared" si="12"/>
        <v>20.167812000000001</v>
      </c>
      <c r="I21" s="29">
        <f t="shared" si="12"/>
        <v>20.75</v>
      </c>
      <c r="J21" s="30">
        <f t="shared" si="12"/>
        <v>40</v>
      </c>
      <c r="K21" s="29">
        <f t="shared" si="12"/>
        <v>194.38800000000001</v>
      </c>
      <c r="L21" s="29">
        <f t="shared" si="12"/>
        <v>59.023943999999993</v>
      </c>
      <c r="M21" s="29">
        <f t="shared" si="12"/>
        <v>60.5</v>
      </c>
    </row>
    <row r="22" spans="1:16" x14ac:dyDescent="0.25">
      <c r="A22" s="2" t="s">
        <v>17</v>
      </c>
    </row>
    <row r="23" spans="1:16" x14ac:dyDescent="0.25">
      <c r="A23" s="2"/>
    </row>
    <row r="24" spans="1:16" x14ac:dyDescent="0.25">
      <c r="A24" s="2" t="s">
        <v>18</v>
      </c>
    </row>
    <row r="25" spans="1:16" x14ac:dyDescent="0.25">
      <c r="A25" s="2" t="s">
        <v>19</v>
      </c>
    </row>
    <row r="26" spans="1:16" x14ac:dyDescent="0.25">
      <c r="A26" s="2" t="s">
        <v>20</v>
      </c>
    </row>
    <row r="27" spans="1:16" x14ac:dyDescent="0.25">
      <c r="A27" s="2" t="s">
        <v>21</v>
      </c>
    </row>
    <row r="354" spans="16:16" x14ac:dyDescent="0.25">
      <c r="P354" s="5"/>
    </row>
  </sheetData>
  <mergeCells count="7">
    <mergeCell ref="A2:O2"/>
    <mergeCell ref="A3:O3"/>
    <mergeCell ref="N5:O5"/>
    <mergeCell ref="N6:P6"/>
    <mergeCell ref="A5:M5"/>
    <mergeCell ref="A6:E6"/>
    <mergeCell ref="F6:H6"/>
  </mergeCells>
  <phoneticPr fontId="1" type="noConversion"/>
  <printOptions horizontalCentered="1" verticalCentered="1"/>
  <pageMargins left="0.23622047244094491" right="0.23622047244094491" top="0.74803149606299213" bottom="0.55118110236220474" header="0.31496062992125984" footer="0.31496062992125984"/>
  <pageSetup paperSize="9" scale="44" fitToHeight="0" orientation="landscape" r:id="rId1"/>
  <headerFooter>
    <oddFooter>&amp;C
&amp;R&amp;P/&amp;N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VIDROS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Rodergas</dc:creator>
  <cp:keywords/>
  <dc:description/>
  <cp:lastModifiedBy>CristalMais Técnica</cp:lastModifiedBy>
  <cp:revision/>
  <dcterms:created xsi:type="dcterms:W3CDTF">2014-08-12T13:51:14Z</dcterms:created>
  <dcterms:modified xsi:type="dcterms:W3CDTF">2026-01-23T17:50:27Z</dcterms:modified>
  <cp:category/>
  <cp:contentStatus/>
</cp:coreProperties>
</file>